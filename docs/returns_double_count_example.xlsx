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Worked example" sheetId="2" state="visible" r:id="rId4"/>
    <sheet name="Impact by statu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<sst xmlns="http://schemas.openxmlformats.org/spreadsheetml/2006/main" count="68" uniqueCount="66">
  <si>
    <t xml:space="preserve">Returns double-count — for review</t>
  </si>
  <si>
    <t xml:space="preserve">The problem, in plain terms</t>
  </si>
  <si>
    <t xml:space="preserve">When the same product on the same order shows up on more than one order line — which</t>
  </si>
  <si>
    <t xml:space="preserve">happens whenever a refund creates a second (negative) line — our current returns report</t>
  </si>
  <si>
    <t xml:space="preserve">counts that one return once per line instead of once in total. So reported returns have</t>
  </si>
  <si>
    <t xml:space="preserve">been slightly overstated. Revenue and units sold are NOT affected — only returns.</t>
  </si>
  <si>
    <t xml:space="preserve">The question for George</t>
  </si>
  <si>
    <t xml:space="preserve">If we correct the count so each return is counted once, historical returns fall by about 22% (Q1 2026: 5,259 → 4,079 units).  Do you want the corrected count going forward, and are you OK restating the past figures to match — or keep the old basis for continuity?</t>
  </si>
  <si>
    <t xml:space="preserve">The headline impact (Q1 2026, units returned)</t>
  </si>
  <si>
    <t xml:space="preserve">Reported now (spreadsheet)</t>
  </si>
  <si>
    <t xml:space="preserve">5,259</t>
  </si>
  <si>
    <t xml:space="preserve">Corrected (each return counted once)</t>
  </si>
  <si>
    <t xml:space="preserve">4,079</t>
  </si>
  <si>
    <t xml:space="preserve">Reduction</t>
  </si>
  <si>
    <t xml:space="preserve">≈ 22% lower</t>
  </si>
  <si>
    <t xml:space="preserve">Where to look</t>
  </si>
  <si>
    <t xml:space="preserve">• "Worked example" tab — one real Q1 return counted twice, shown step by step.</t>
  </si>
  <si>
    <t xml:space="preserve">• "Impact by status" tab — the effect across all product statuses.</t>
  </si>
  <si>
    <t xml:space="preserve">Source: Q1_Jan_Feb_Mar_2026.xlsx. "Corrected" = de-duplicated SKU+order join.</t>
  </si>
  <si>
    <t xml:space="preserve">Worked example: one return counted twice</t>
  </si>
  <si>
    <t xml:space="preserve">Product: Single Hook  ·  SKU ADH-GRAY-130-1AB  ·  Order 12817083761020  ·  UK</t>
  </si>
  <si>
    <t xml:space="preserve">1)  What the customer actually returned</t>
  </si>
  <si>
    <t xml:space="preserve">From Returns-zap, the trusted returns feed (the whole feed has exactly ONE row for this order):</t>
  </si>
  <si>
    <t xml:space="preserve">Order</t>
  </si>
  <si>
    <t xml:space="preserve">SKU</t>
  </si>
  <si>
    <t xml:space="preserve">Product</t>
  </si>
  <si>
    <t xml:space="preserve">Return date</t>
  </si>
  <si>
    <t xml:space="preserve">Qty returned</t>
  </si>
  <si>
    <t xml:space="preserve">Reason</t>
  </si>
  <si>
    <t xml:space="preserve">12817083761020</t>
  </si>
  <si>
    <t xml:space="preserve">ADH-GRAY-130-1AB</t>
  </si>
  <si>
    <t xml:space="preserve">Single Hook</t>
  </si>
  <si>
    <t xml:space="preserve">2026-02-12</t>
  </si>
  <si>
    <t xml:space="preserve">Not right for my project</t>
  </si>
  <si>
    <t xml:space="preserve">2)  The same order in Shopify — it appears on TWO lines</t>
  </si>
  <si>
    <t xml:space="preserve">A refund created a second, negative line. Both lines are the same product+order.</t>
  </si>
  <si>
    <t xml:space="preserve">Line</t>
  </si>
  <si>
    <t xml:space="preserve">Country</t>
  </si>
  <si>
    <t xml:space="preserve">Month</t>
  </si>
  <si>
    <t xml:space="preserve">Sales (£)</t>
  </si>
  <si>
    <t xml:space="preserve">Units sold</t>
  </si>
  <si>
    <t xml:space="preserve">Returns the sheet stamps onto this line</t>
  </si>
  <si>
    <t xml:space="preserve">UK</t>
  </si>
  <si>
    <t xml:space="preserve">Feb 2026</t>
  </si>
  <si>
    <t xml:space="preserve">Mar 2026 (refund reversal)</t>
  </si>
  <si>
    <t xml:space="preserve">3)  Two ways to count the same single return</t>
  </si>
  <si>
    <t xml:space="preserve">Old method — spreadsheet sums the stamped column (Line 1 + Line 2):</t>
  </si>
  <si>
    <t xml:space="preserve">◄ counts the return TWICE</t>
  </si>
  <si>
    <t xml:space="preserve">Correct method — count each return once (sum the Returns-zap qty):</t>
  </si>
  <si>
    <t xml:space="preserve">◄ the true figure</t>
  </si>
  <si>
    <t xml:space="preserve">Over-count on this one order:</t>
  </si>
  <si>
    <t xml:space="preserve">This happens on 672 SKU+order combinations in Q1, which is why reported returns are ≈22% too high.</t>
  </si>
  <si>
    <t xml:space="preserve">Source: Q1_Jan_Feb_Mar_2026.xlsx (Shopify Data + Returns zap tabs). Values shown are the actual data for this order.</t>
  </si>
  <si>
    <t xml:space="preserve">Impact by product status — Q1 2026 units returned</t>
  </si>
  <si>
    <t xml:space="preserve">Status</t>
  </si>
  <si>
    <t xml:space="preserve">Reported now</t>
  </si>
  <si>
    <t xml:space="preserve">Corrected</t>
  </si>
  <si>
    <t xml:space="preserve">Over-count</t>
  </si>
  <si>
    <t xml:space="preserve">Live</t>
  </si>
  <si>
    <t xml:space="preserve">Discontinued</t>
  </si>
  <si>
    <t xml:space="preserve">Disco to Resource</t>
  </si>
  <si>
    <t xml:space="preserve">Not For Sale</t>
  </si>
  <si>
    <t xml:space="preserve">TOTAL</t>
  </si>
  <si>
    <t xml:space="preserve">"Reported now" = the current spreadsheet basis (matches the Q1 workbook headline of 5,259).</t>
  </si>
  <si>
    <t xml:space="preserve">"Corrected" = each SKU+order return counted once (de-duplicated join).</t>
  </si>
  <si>
    <t xml:space="preserve">Source: Q1_Jan_Feb_Mar_2026.xlsx.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</si>
</sst>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General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0549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5"/>
      <color rgb="FF305496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4"/>
      <color rgb="FF30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8C7CB"/>
        <bgColor rgb="FFCCCCFF"/>
      </patternFill>
    </fill>
    <fill>
      <patternFill patternType="solid">
        <fgColor rgb="FFC6EFCE"/>
        <bgColor rgb="FFCCFFFF"/>
      </patternFill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7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5" min="3" style="0" width="2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true" outlineLevel="0" collapsed="false">
      <c r="B12" s="4" t="s">
        <v>7</v>
      </c>
      <c r="C12" s="4"/>
      <c r="D12" s="4"/>
      <c r="E12" s="4"/>
      <c r="F12" s="4"/>
    </row>
    <row r="13" customFormat="false" ht="15" hidden="false" customHeight="false" outlineLevel="0" collapsed="false">
      <c r="B13" s="4"/>
      <c r="C13" s="4"/>
      <c r="D13" s="4"/>
      <c r="E13" s="4"/>
      <c r="F13" s="4"/>
    </row>
    <row r="14" customFormat="false" ht="15" hidden="false" customHeight="false" outlineLevel="0" collapsed="false">
      <c r="B14" s="4"/>
      <c r="C14" s="4"/>
      <c r="D14" s="4"/>
      <c r="E14" s="4"/>
      <c r="F14" s="4"/>
    </row>
    <row r="16" customFormat="false" ht="15" hidden="false" customHeight="false" outlineLevel="0" collapsed="false">
      <c r="B16" s="2" t="s">
        <v>8</v>
      </c>
    </row>
    <row r="17" customFormat="false" ht="15" hidden="false" customHeight="false" outlineLevel="0" collapsed="false">
      <c r="B17" s="5" t="s">
        <v>9</v>
      </c>
      <c r="C17" s="6"/>
      <c r="D17" s="7" t="s">
        <v>10</v>
      </c>
    </row>
    <row r="18" customFormat="false" ht="15" hidden="false" customHeight="false" outlineLevel="0" collapsed="false">
      <c r="B18" s="8" t="s">
        <v>11</v>
      </c>
      <c r="C18" s="9"/>
      <c r="D18" s="10" t="s">
        <v>12</v>
      </c>
    </row>
    <row r="19" customFormat="false" ht="15" hidden="false" customHeight="false" outlineLevel="0" collapsed="false">
      <c r="B19" s="11" t="s">
        <v>13</v>
      </c>
      <c r="C19" s="12"/>
      <c r="D19" s="13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 t="s">
        <v>17</v>
      </c>
    </row>
    <row r="25" customFormat="false" ht="15" hidden="false" customHeight="false" outlineLevel="0" collapsed="false">
      <c r="B25" s="14" t="s">
        <v>18</v>
      </c>
    </row>
  </sheetData>
  <mergeCells count="1">
    <mergeCell ref="B12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true" outlineLevel="0" max="8" min="8" style="0" width="2"/>
  </cols>
  <sheetData>
    <row r="2" customFormat="false" ht="18.55" hidden="false" customHeight="false" outlineLevel="0" collapsed="false">
      <c r="B2" s="15" t="s">
        <v>19</v>
      </c>
    </row>
    <row r="3" customFormat="false" ht="15" hidden="false" customHeight="false" outlineLevel="0" collapsed="false">
      <c r="B3" s="16" t="s">
        <v>20</v>
      </c>
    </row>
    <row r="5" customFormat="false" ht="15" hidden="false" customHeight="false" outlineLevel="0" collapsed="false">
      <c r="B5" s="2" t="s">
        <v>21</v>
      </c>
    </row>
    <row r="6" customFormat="false" ht="15" hidden="false" customHeight="false" outlineLevel="0" collapsed="false">
      <c r="B6" s="17" t="s">
        <v>22</v>
      </c>
    </row>
    <row r="7" customFormat="false" ht="26.85" hidden="false" customHeight="false" outlineLevel="0" collapsed="false">
      <c r="B7" s="18" t="s">
        <v>23</v>
      </c>
      <c r="C7" s="18" t="s">
        <v>24</v>
      </c>
      <c r="D7" s="18" t="s">
        <v>25</v>
      </c>
      <c r="E7" s="18" t="s">
        <v>26</v>
      </c>
      <c r="F7" s="18" t="s">
        <v>27</v>
      </c>
      <c r="G7" s="18" t="s">
        <v>28</v>
      </c>
    </row>
    <row r="8" customFormat="false" ht="15" hidden="false" customHeight="false" outlineLevel="0" collapsed="false">
      <c r="B8" s="19" t="s">
        <v>29</v>
      </c>
      <c r="C8" s="19" t="s">
        <v>30</v>
      </c>
      <c r="D8" s="19" t="s">
        <v>31</v>
      </c>
      <c r="E8" s="19" t="s">
        <v>32</v>
      </c>
      <c r="F8" s="20" t="n">
        <v>1</v>
      </c>
      <c r="G8" s="19" t="s">
        <v>33</v>
      </c>
      <c r="H8" s="0" t="str">
        <f aca="false">B8&amp;C8</f>
        <v>12817083761020ADH-GRAY-130-1AB</v>
      </c>
    </row>
    <row r="10" customFormat="false" ht="15" hidden="false" customHeight="false" outlineLevel="0" collapsed="false">
      <c r="B10" s="2" t="s">
        <v>34</v>
      </c>
    </row>
    <row r="11" customFormat="false" ht="15" hidden="false" customHeight="false" outlineLevel="0" collapsed="false">
      <c r="B11" s="17" t="s">
        <v>35</v>
      </c>
    </row>
    <row r="12" customFormat="false" ht="26.85" hidden="false" customHeight="false" outlineLevel="0" collapsed="false">
      <c r="B12" s="18" t="s">
        <v>36</v>
      </c>
      <c r="C12" s="18" t="s">
        <v>37</v>
      </c>
      <c r="D12" s="18" t="s">
        <v>38</v>
      </c>
      <c r="E12" s="18" t="s">
        <v>39</v>
      </c>
      <c r="F12" s="18" t="s">
        <v>40</v>
      </c>
      <c r="G12" s="18" t="s">
        <v>41</v>
      </c>
    </row>
    <row r="13" customFormat="false" ht="15" hidden="false" customHeight="false" outlineLevel="0" collapsed="false">
      <c r="B13" s="19" t="n">
        <v>1</v>
      </c>
      <c r="C13" s="19" t="s">
        <v>42</v>
      </c>
      <c r="D13" s="19" t="s">
        <v>43</v>
      </c>
      <c r="E13" s="21" t="n">
        <v>18.36</v>
      </c>
      <c r="F13" s="19" t="n">
        <v>1</v>
      </c>
      <c r="G13" s="22" t="n">
        <f aca="false">SUMIFS($F$8,$H$8,H13)</f>
        <v>1</v>
      </c>
      <c r="H13" s="0" t="str">
        <f aca="false">$B$8&amp;$C$8</f>
        <v>12817083761020ADH-GRAY-130-1AB</v>
      </c>
    </row>
    <row r="14" customFormat="false" ht="15" hidden="false" customHeight="false" outlineLevel="0" collapsed="false">
      <c r="B14" s="19" t="n">
        <v>2</v>
      </c>
      <c r="C14" s="19" t="s">
        <v>42</v>
      </c>
      <c r="D14" s="19" t="s">
        <v>44</v>
      </c>
      <c r="E14" s="21" t="n">
        <v>-18.36</v>
      </c>
      <c r="F14" s="19" t="n">
        <v>0</v>
      </c>
      <c r="G14" s="22" t="n">
        <f aca="false">SUMIFS($F$8,$H$8,H14)</f>
        <v>1</v>
      </c>
      <c r="H14" s="0" t="str">
        <f aca="false">$B$8&amp;$C$8</f>
        <v>12817083761020ADH-GRAY-130-1AB</v>
      </c>
    </row>
    <row r="16" customFormat="false" ht="15" hidden="false" customHeight="false" outlineLevel="0" collapsed="false">
      <c r="B16" s="2" t="s">
        <v>45</v>
      </c>
    </row>
    <row r="17" customFormat="false" ht="15" hidden="false" customHeight="false" outlineLevel="0" collapsed="false">
      <c r="B17" s="23" t="s">
        <v>46</v>
      </c>
      <c r="C17" s="24"/>
      <c r="D17" s="24"/>
      <c r="E17" s="24"/>
      <c r="F17" s="25" t="n">
        <f aca="false">SUM(G13:G14)</f>
        <v>2</v>
      </c>
      <c r="G17" s="26" t="s">
        <v>47</v>
      </c>
    </row>
    <row r="18" customFormat="false" ht="15" hidden="false" customHeight="false" outlineLevel="0" collapsed="false">
      <c r="B18" s="23" t="s">
        <v>48</v>
      </c>
      <c r="C18" s="24"/>
      <c r="D18" s="24"/>
      <c r="E18" s="24"/>
      <c r="F18" s="27" t="n">
        <f aca="false">SUM(F8)</f>
        <v>1</v>
      </c>
      <c r="G18" s="28" t="s">
        <v>49</v>
      </c>
    </row>
    <row r="19" customFormat="false" ht="15" hidden="false" customHeight="false" outlineLevel="0" collapsed="false">
      <c r="B19" s="23" t="s">
        <v>50</v>
      </c>
      <c r="C19" s="24"/>
      <c r="D19" s="24"/>
      <c r="E19" s="24"/>
      <c r="F19" s="29" t="n">
        <f aca="false">F17-F18</f>
        <v>1</v>
      </c>
    </row>
    <row r="21" customFormat="false" ht="15" hidden="false" customHeight="false" outlineLevel="0" collapsed="false">
      <c r="B21" s="30" t="s">
        <v>51</v>
      </c>
    </row>
    <row r="22" customFormat="false" ht="15" hidden="false" customHeight="false" outlineLevel="0" collapsed="false">
      <c r="B22" s="1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20"/>
  </cols>
  <sheetData>
    <row r="2" customFormat="false" ht="17.35" hidden="false" customHeight="false" outlineLevel="0" collapsed="false">
      <c r="B2" s="31" t="s">
        <v>53</v>
      </c>
    </row>
    <row r="4" customFormat="false" ht="15" hidden="false" customHeight="false" outlineLevel="0" collapsed="false">
      <c r="B4" s="32" t="s">
        <v>54</v>
      </c>
      <c r="C4" s="32" t="s">
        <v>55</v>
      </c>
      <c r="D4" s="32" t="s">
        <v>56</v>
      </c>
      <c r="E4" s="32" t="s">
        <v>57</v>
      </c>
      <c r="F4" s="32" t="s">
        <v>13</v>
      </c>
    </row>
    <row r="5" customFormat="false" ht="15" hidden="false" customHeight="false" outlineLevel="0" collapsed="false">
      <c r="B5" s="23" t="s">
        <v>58</v>
      </c>
      <c r="C5" s="5" t="n">
        <v>4732</v>
      </c>
      <c r="D5" s="8" t="n">
        <v>3695</v>
      </c>
      <c r="E5" s="23" t="n">
        <f aca="false">C5-D5</f>
        <v>1037</v>
      </c>
      <c r="F5" s="33" t="n">
        <f aca="false">(C5-D5)/C5</f>
        <v>0.219146238377008</v>
      </c>
    </row>
    <row r="6" customFormat="false" ht="15" hidden="false" customHeight="false" outlineLevel="0" collapsed="false">
      <c r="B6" s="23" t="s">
        <v>59</v>
      </c>
      <c r="C6" s="5" t="n">
        <v>168</v>
      </c>
      <c r="D6" s="8" t="n">
        <v>115</v>
      </c>
      <c r="E6" s="23" t="n">
        <f aca="false">C6-D6</f>
        <v>53</v>
      </c>
      <c r="F6" s="33" t="n">
        <f aca="false">(C6-D6)/C6</f>
        <v>0.31547619047619</v>
      </c>
    </row>
    <row r="7" customFormat="false" ht="15" hidden="false" customHeight="false" outlineLevel="0" collapsed="false">
      <c r="B7" s="23" t="s">
        <v>60</v>
      </c>
      <c r="C7" s="5" t="n">
        <v>345</v>
      </c>
      <c r="D7" s="8" t="n">
        <v>262</v>
      </c>
      <c r="E7" s="23" t="n">
        <f aca="false">C7-D7</f>
        <v>83</v>
      </c>
      <c r="F7" s="33" t="n">
        <f aca="false">(C7-D7)/C7</f>
        <v>0.240579710144928</v>
      </c>
    </row>
    <row r="8" customFormat="false" ht="15" hidden="false" customHeight="false" outlineLevel="0" collapsed="false">
      <c r="B8" s="23" t="s">
        <v>61</v>
      </c>
      <c r="C8" s="5" t="n">
        <v>14</v>
      </c>
      <c r="D8" s="8" t="n">
        <v>7</v>
      </c>
      <c r="E8" s="23" t="n">
        <f aca="false">C8-D8</f>
        <v>7</v>
      </c>
      <c r="F8" s="33" t="n">
        <f aca="false">(C8-D8)/C8</f>
        <v>0.5</v>
      </c>
    </row>
    <row r="9" customFormat="false" ht="15" hidden="false" customHeight="false" outlineLevel="0" collapsed="false">
      <c r="B9" s="34" t="s">
        <v>62</v>
      </c>
      <c r="C9" s="7" t="n">
        <f aca="false">SUM(C5:C8)</f>
        <v>5259</v>
      </c>
      <c r="D9" s="10" t="n">
        <f aca="false">SUM(D5:D8)</f>
        <v>4079</v>
      </c>
      <c r="E9" s="34" t="n">
        <f aca="false">C9-D9</f>
        <v>1180</v>
      </c>
      <c r="F9" s="35" t="n">
        <f aca="false">(C9-D9)/C9</f>
        <v>0.224377258033847</v>
      </c>
    </row>
    <row r="11" customFormat="false" ht="15" hidden="false" customHeight="false" outlineLevel="0" collapsed="false">
      <c r="B11" s="14" t="s">
        <v>63</v>
      </c>
    </row>
    <row r="12" customFormat="false" ht="15" hidden="false" customHeight="false" outlineLevel="0" collapsed="false">
      <c r="B12" s="14" t="s">
        <v>64</v>
      </c>
    </row>
    <row r="13" customFormat="false" ht="15" hidden="false" customHeight="false" outlineLevel="0" collapsed="false">
      <c r="B13" s="1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2026-08-03T09:14:50Z</dcterms:created>
  <dc:creator>openpyxl</dc:creator>
  <dc:description/>
  <dc:language>en-US</dc:language>
  <cp:lastModifiedBy/>
  <dcterms:modified xsi:type="dcterms:W3CDTF">2026-08-03T09:14:50Z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